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Owner\Documents\Repos\EuroferMicrostructure\EuroferExperiments\input\"/>
    </mc:Choice>
  </mc:AlternateContent>
  <xr:revisionPtr revIDLastSave="0" documentId="13_ncr:1_{3F7FD243-E6C8-471C-929D-4B45645B3606}" xr6:coauthVersionLast="47" xr6:coauthVersionMax="47" xr10:uidLastSave="{00000000-0000-0000-0000-000000000000}"/>
  <bookViews>
    <workbookView xWindow="-110" yWindow="-110" windowWidth="38620" windowHeight="21100" activeTab="1" xr2:uid="{00000000-000D-0000-FFFF-FFFF00000000}"/>
  </bookViews>
  <sheets>
    <sheet name="Material_Environment" sheetId="1" r:id="rId1"/>
    <sheet name="Physical_Properties" sheetId="2" r:id="rId2"/>
    <sheet name="Model_Paramete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9" i="2" l="1"/>
  <c r="D18" i="2"/>
  <c r="D29" i="2"/>
</calcChain>
</file>

<file path=xl/sharedStrings.xml><?xml version="1.0" encoding="utf-8"?>
<sst xmlns="http://schemas.openxmlformats.org/spreadsheetml/2006/main" count="247" uniqueCount="187">
  <si>
    <t>Notation</t>
  </si>
  <si>
    <t>Parameter</t>
  </si>
  <si>
    <t>Units</t>
  </si>
  <si>
    <t>Value</t>
  </si>
  <si>
    <t>Description</t>
  </si>
  <si>
    <t>rho</t>
  </si>
  <si>
    <t>dislocation density</t>
  </si>
  <si>
    <t>m^-2</t>
  </si>
  <si>
    <t>Network dislocation density</t>
  </si>
  <si>
    <t>d</t>
  </si>
  <si>
    <t>grain diameter</t>
  </si>
  <si>
    <t>m</t>
  </si>
  <si>
    <t>Average grain size</t>
  </si>
  <si>
    <t>r_p</t>
  </si>
  <si>
    <t>precipitate radius</t>
  </si>
  <si>
    <t>Average precipitate radius</t>
  </si>
  <si>
    <t>N_P</t>
  </si>
  <si>
    <t>precipitate number density</t>
  </si>
  <si>
    <t>m^-3</t>
  </si>
  <si>
    <t>Precipitate number density</t>
  </si>
  <si>
    <t>T</t>
  </si>
  <si>
    <t>Irradiation temperature</t>
  </si>
  <si>
    <t>K</t>
  </si>
  <si>
    <t>G</t>
  </si>
  <si>
    <t>Irradiation dose rate</t>
  </si>
  <si>
    <t>dpa.s^-1</t>
  </si>
  <si>
    <t>Damage rate</t>
  </si>
  <si>
    <t>N_C</t>
  </si>
  <si>
    <t>Nucleated void (cavity) density (if needed)</t>
  </si>
  <si>
    <t>Void nucleation density</t>
  </si>
  <si>
    <t>N_iL</t>
  </si>
  <si>
    <t>Nucleated interstitial loop density (if needed)</t>
  </si>
  <si>
    <t>Loop nucleation density</t>
  </si>
  <si>
    <t>Property</t>
  </si>
  <si>
    <t>a</t>
  </si>
  <si>
    <t>lattice parameter</t>
  </si>
  <si>
    <t>Crystal lattice parameter</t>
  </si>
  <si>
    <t>E_m_i</t>
  </si>
  <si>
    <t>migration energy of single interstitials</t>
  </si>
  <si>
    <t>eV</t>
  </si>
  <si>
    <t>Interstitial migration barrier</t>
  </si>
  <si>
    <t>E_m_v</t>
  </si>
  <si>
    <t>migration energy of single vacancy</t>
  </si>
  <si>
    <t>Vacancy migration barrier</t>
  </si>
  <si>
    <t>E_F_v</t>
  </si>
  <si>
    <t>formation energy of a vacancy</t>
  </si>
  <si>
    <t>Vacancy formation energy</t>
  </si>
  <si>
    <t>E_F_i</t>
  </si>
  <si>
    <t>formation energy of an interstitial</t>
  </si>
  <si>
    <t>Interstitial formation energy</t>
  </si>
  <si>
    <t>gamma</t>
  </si>
  <si>
    <t>surface energy</t>
  </si>
  <si>
    <t>eV.m^-2</t>
  </si>
  <si>
    <t>Surface energy</t>
  </si>
  <si>
    <t>gamma_sf</t>
  </si>
  <si>
    <t>stacking fault energy</t>
  </si>
  <si>
    <t>Stacking fault energy</t>
  </si>
  <si>
    <t>nu_i</t>
  </si>
  <si>
    <t>interstitial vibration frequency</t>
  </si>
  <si>
    <t>s^-1</t>
  </si>
  <si>
    <t>Interstitial attempt frequency</t>
  </si>
  <si>
    <t>nu_v</t>
  </si>
  <si>
    <t>vacancy vibration frequency</t>
  </si>
  <si>
    <t>Vacancy attempt frequency</t>
  </si>
  <si>
    <t>Omega</t>
  </si>
  <si>
    <t>atomic volume</t>
  </si>
  <si>
    <t>m^3</t>
  </si>
  <si>
    <t>Atomic volume</t>
  </si>
  <si>
    <t>z_c</t>
  </si>
  <si>
    <t>Number of unstable sites around a vacancy</t>
  </si>
  <si>
    <t>–</t>
  </si>
  <si>
    <t>Coordination number</t>
  </si>
  <si>
    <t>epsilon_vL</t>
  </si>
  <si>
    <t>Collision cascade efficiency to generate a vacancy loop</t>
  </si>
  <si>
    <t>Vacancy loop cascade efficiency</t>
  </si>
  <si>
    <t>epsilon_2i</t>
  </si>
  <si>
    <t>Collision cascade efficiency to generate a di-interstial</t>
  </si>
  <si>
    <t>Di-interstitial cascade efficiency</t>
  </si>
  <si>
    <t>epsilon_3i</t>
  </si>
  <si>
    <t>Collision cascade efficiency to generate a tri-interstitial</t>
  </si>
  <si>
    <t>Tri-interstitial cascade efficiency</t>
  </si>
  <si>
    <t>M</t>
  </si>
  <si>
    <t>Average Schmidt factor for tensile loading</t>
  </si>
  <si>
    <t>Schmidt factor</t>
  </si>
  <si>
    <t>Network dislocation bias factor for interstitials</t>
  </si>
  <si>
    <t>Dislocation bias for interstitial absorption</t>
  </si>
  <si>
    <t>Interstitial dislocation loop bias factor for interstitials</t>
  </si>
  <si>
    <t>Interstitial loop bias for interstitial absorption</t>
  </si>
  <si>
    <t>Vacancy loop bias factor for interstitials</t>
  </si>
  <si>
    <t>Vacancy loop bias for interstitial absorption</t>
  </si>
  <si>
    <t>Q</t>
  </si>
  <si>
    <t>Absorption efficiency for &lt;c&gt; loops</t>
  </si>
  <si>
    <t>Loop growth efficiency factor</t>
  </si>
  <si>
    <t>A_a</t>
  </si>
  <si>
    <t>Strain factor in &lt;a&gt; direction</t>
  </si>
  <si>
    <t>Strain tensor component a-direction</t>
  </si>
  <si>
    <t>A_c</t>
  </si>
  <si>
    <t>Strain factor in &lt;c&gt; direction</t>
  </si>
  <si>
    <t>Strain tensor component c-direction</t>
  </si>
  <si>
    <t>tau_vL</t>
  </si>
  <si>
    <t>lifetime of a vacancy loop due to thermal annealing</t>
  </si>
  <si>
    <t>s</t>
  </si>
  <si>
    <t>Vacancy loop thermal stability time</t>
  </si>
  <si>
    <t>tau_avL</t>
  </si>
  <si>
    <t>lifetime of aligned vacancy loop due to thermal annealing</t>
  </si>
  <si>
    <t>Aligned vacancy loop thermal stability time</t>
  </si>
  <si>
    <t>alpha_i</t>
  </si>
  <si>
    <t>Strength coefficient for a small interstitial cluster</t>
  </si>
  <si>
    <t>Interstitial obstacle strength</t>
  </si>
  <si>
    <t>alpha_v</t>
  </si>
  <si>
    <t>Strength coefficient for a small vacancy cluster</t>
  </si>
  <si>
    <t>Vacancy obstacle strength</t>
  </si>
  <si>
    <t>alpha_iL</t>
  </si>
  <si>
    <t>Average strength coefficient for an interstitial loop</t>
  </si>
  <si>
    <t>Interstitial loop obstacle strength</t>
  </si>
  <si>
    <t>alpha_aiL</t>
  </si>
  <si>
    <t>Average strength coefficient for an aligned interstitial loop</t>
  </si>
  <si>
    <t>Aligned interstitial loop obstacle strength</t>
  </si>
  <si>
    <t>alpha_vL</t>
  </si>
  <si>
    <t>Average strength coefficient for a vacancy loop</t>
  </si>
  <si>
    <t>Vacancy loop obstacle strength</t>
  </si>
  <si>
    <t>alpha_avL</t>
  </si>
  <si>
    <t>Average strength coefficient for an aligned vacancy loop</t>
  </si>
  <si>
    <t>Aligned vacancy loop obstacle strength</t>
  </si>
  <si>
    <t>alpha_N</t>
  </si>
  <si>
    <t>Average strength coefficient for network dislocations</t>
  </si>
  <si>
    <t>Network dislocation obstacle strength</t>
  </si>
  <si>
    <t>Increment in mobile dislocation line length per forest dislocation</t>
  </si>
  <si>
    <t>Dislocation multiplication factor</t>
  </si>
  <si>
    <t>conversion rate of mobile to forest dislocations</t>
  </si>
  <si>
    <t>Dislocation immobilization rate</t>
  </si>
  <si>
    <t>r_m</t>
  </si>
  <si>
    <t>recovery rate of mobile dislocations by cross-slip</t>
  </si>
  <si>
    <t>Mobile dislocation recovery rate</t>
  </si>
  <si>
    <t>r_f</t>
  </si>
  <si>
    <t>recovery rate of forest dislocations by cross-slip</t>
  </si>
  <si>
    <t>Forest dislocation recovery rate</t>
  </si>
  <si>
    <t>Pa</t>
  </si>
  <si>
    <t>uniaxial applied stress</t>
  </si>
  <si>
    <t>sigma_n</t>
  </si>
  <si>
    <t>normal stress</t>
  </si>
  <si>
    <t>sigma_h</t>
  </si>
  <si>
    <t>hydrostatic stress</t>
  </si>
  <si>
    <t>hydostatic stress</t>
  </si>
  <si>
    <t>E_b_2i</t>
  </si>
  <si>
    <t>binding energy of a diinterstitial</t>
  </si>
  <si>
    <t>E_b_3i</t>
  </si>
  <si>
    <t>binding energy of a triinterstitial</t>
  </si>
  <si>
    <t>shear modulus</t>
  </si>
  <si>
    <t>nu_poisson</t>
  </si>
  <si>
    <t>Poisson ratio</t>
  </si>
  <si>
    <t>r_cap_vL</t>
  </si>
  <si>
    <t>Capture radius around vacancy loop</t>
  </si>
  <si>
    <t>capture radius around vacancy loop</t>
  </si>
  <si>
    <t>Z_N</t>
  </si>
  <si>
    <t>Z_iL</t>
  </si>
  <si>
    <t>Z_vL</t>
  </si>
  <si>
    <t>E_m_2i</t>
  </si>
  <si>
    <t>recom</t>
  </si>
  <si>
    <t>recombination radius factor</t>
  </si>
  <si>
    <t>b_111</t>
  </si>
  <si>
    <t>b_100</t>
  </si>
  <si>
    <t>magnitude of Burgers vector along &lt;100&gt;-direction</t>
  </si>
  <si>
    <t>Burgers vector &lt;100&gt;-direction</t>
  </si>
  <si>
    <t>magnitude of Burgers vector along 1/2&lt;111&gt;-direction</t>
  </si>
  <si>
    <t>Burgers vector 1/2&lt;111&gt;-direction</t>
  </si>
  <si>
    <t>migration energy of di tri  interstitials</t>
  </si>
  <si>
    <t>di tri Interstitial migration barrier</t>
  </si>
  <si>
    <t>capture radius around void</t>
  </si>
  <si>
    <t>Capture radius around void</t>
  </si>
  <si>
    <t>r_cap_void</t>
  </si>
  <si>
    <t>epsilon_void</t>
  </si>
  <si>
    <t>Void cascade efficiency</t>
  </si>
  <si>
    <t>Collision cascade efficiency to generate a void</t>
  </si>
  <si>
    <t>nu_h</t>
  </si>
  <si>
    <t>helium attempt frequency</t>
  </si>
  <si>
    <t>E_m_h</t>
  </si>
  <si>
    <t>helium migration barrier</t>
  </si>
  <si>
    <t>b_r</t>
  </si>
  <si>
    <t>resolution parameter</t>
  </si>
  <si>
    <t>mu_s</t>
  </si>
  <si>
    <t>B_2</t>
  </si>
  <si>
    <t>B_3</t>
  </si>
  <si>
    <t>m^3/atom</t>
  </si>
  <si>
    <t>m^6/atom^2</t>
  </si>
  <si>
    <t>second virial coefficient for helium</t>
  </si>
  <si>
    <t>third virial coefficient for helium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</si>
</sst>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E+00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top"/>
    </xf>
    <xf numFmtId="11" fontId="0" fillId="0" borderId="0" xfId="0" applyNumberFormat="1"/>
    <xf numFmtId="164" fontId="1" fillId="0" borderId="1" xfId="0" applyNumberFormat="1" applyFont="1" applyBorder="1" applyAlignment="1">
      <alignment horizontal="center" vertical="top"/>
    </xf>
    <xf numFmtId="164" fontId="0" fillId="0" borderId="0" xfId="0" applyNumberFormat="1"/>
    <xf numFmtId="0" fontId="0" fillId="2" borderId="0" xfId="0" applyFill="1"/>
    <xf numFmtId="164" fontId="0" fillId="2" borderId="0" xfId="0" applyNumberFormat="1" applyFill="1"/>
    <xf numFmtId="0" fontId="0" fillId="3" borderId="0" xfId="0" applyFill="1"/>
    <xf numFmtId="11" fontId="0" fillId="3" borderId="0" xfId="0" applyNumberFormat="1" applyFill="1"/>
    <xf numFmtId="164" fontId="0" fillId="3" borderId="0" xfId="0" applyNumberForma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"/>
  <sheetViews>
    <sheetView zoomScale="99" zoomScaleNormal="200" workbookViewId="0">
      <selection activeCell="D8" sqref="D8"/>
    </sheetView>
  </sheetViews>
  <sheetFormatPr defaultRowHeight="14.5" x14ac:dyDescent="0.35"/>
  <cols>
    <col min="1" max="1" width="10" customWidth="1"/>
    <col min="2" max="2" width="49" customWidth="1"/>
    <col min="3" max="3" width="10" customWidth="1"/>
    <col min="4" max="4" width="19" customWidth="1"/>
    <col min="5" max="5" width="29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t="s">
        <v>5</v>
      </c>
      <c r="B2" t="s">
        <v>6</v>
      </c>
      <c r="C2" t="s">
        <v>7</v>
      </c>
      <c r="D2" s="2">
        <v>100000000000000</v>
      </c>
      <c r="E2" t="s">
        <v>8</v>
      </c>
    </row>
    <row r="3" spans="1:5" x14ac:dyDescent="0.35">
      <c r="A3" t="s">
        <v>9</v>
      </c>
      <c r="B3" t="s">
        <v>10</v>
      </c>
      <c r="C3" t="s">
        <v>11</v>
      </c>
      <c r="D3" s="2">
        <v>1.0000000000000001E-5</v>
      </c>
      <c r="E3" t="s">
        <v>12</v>
      </c>
    </row>
    <row r="4" spans="1:5" x14ac:dyDescent="0.35">
      <c r="A4" t="s">
        <v>13</v>
      </c>
      <c r="B4" t="s">
        <v>14</v>
      </c>
      <c r="C4" t="s">
        <v>11</v>
      </c>
      <c r="D4" s="2">
        <v>4.9999999999999998E-8</v>
      </c>
      <c r="E4" t="s">
        <v>15</v>
      </c>
    </row>
    <row r="5" spans="1:5" x14ac:dyDescent="0.35">
      <c r="A5" t="s">
        <v>16</v>
      </c>
      <c r="B5" t="s">
        <v>17</v>
      </c>
      <c r="C5" t="s">
        <v>18</v>
      </c>
      <c r="D5">
        <v>1E+20</v>
      </c>
      <c r="E5" t="s">
        <v>19</v>
      </c>
    </row>
    <row r="6" spans="1:5" x14ac:dyDescent="0.35">
      <c r="A6" t="s">
        <v>20</v>
      </c>
      <c r="B6" t="s">
        <v>21</v>
      </c>
      <c r="C6" t="s">
        <v>22</v>
      </c>
      <c r="D6">
        <v>573</v>
      </c>
      <c r="E6" t="s">
        <v>21</v>
      </c>
    </row>
    <row r="7" spans="1:5" x14ac:dyDescent="0.35">
      <c r="A7" t="s">
        <v>23</v>
      </c>
      <c r="B7" t="s">
        <v>24</v>
      </c>
      <c r="C7" t="s">
        <v>25</v>
      </c>
      <c r="D7" s="2">
        <v>9.9999999999999995E-7</v>
      </c>
      <c r="E7" t="s">
        <v>26</v>
      </c>
    </row>
    <row r="8" spans="1:5" x14ac:dyDescent="0.35">
      <c r="A8" t="s">
        <v>27</v>
      </c>
      <c r="B8" t="s">
        <v>28</v>
      </c>
      <c r="C8" t="s">
        <v>18</v>
      </c>
      <c r="D8" s="2">
        <v>1E+20</v>
      </c>
      <c r="E8" t="s">
        <v>29</v>
      </c>
    </row>
    <row r="9" spans="1:5" x14ac:dyDescent="0.35">
      <c r="A9" t="s">
        <v>30</v>
      </c>
      <c r="B9" t="s">
        <v>31</v>
      </c>
      <c r="C9" t="s">
        <v>18</v>
      </c>
      <c r="D9">
        <v>1E+21</v>
      </c>
      <c r="E9" t="s">
        <v>32</v>
      </c>
    </row>
    <row r="10" spans="1:5" x14ac:dyDescent="0.35">
      <c r="A10" t="s">
        <v>139</v>
      </c>
      <c r="B10" t="s">
        <v>140</v>
      </c>
      <c r="C10" t="s">
        <v>137</v>
      </c>
      <c r="D10" s="2">
        <v>100000000</v>
      </c>
      <c r="E10" t="s">
        <v>138</v>
      </c>
    </row>
    <row r="11" spans="1:5" x14ac:dyDescent="0.35">
      <c r="A11" t="s">
        <v>141</v>
      </c>
      <c r="B11" t="s">
        <v>142</v>
      </c>
      <c r="C11" t="s">
        <v>137</v>
      </c>
      <c r="D11" s="2">
        <v>0</v>
      </c>
      <c r="E11" t="s">
        <v>143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36"/>
  <sheetViews>
    <sheetView tabSelected="1" topLeftCell="A16" zoomScale="200" zoomScaleNormal="200" workbookViewId="0">
      <pane xSplit="1" topLeftCell="C1" activePane="topRight" state="frozen"/>
      <selection pane="topRight" activeCell="G37" sqref="G37"/>
    </sheetView>
  </sheetViews>
  <sheetFormatPr defaultRowHeight="14.5" x14ac:dyDescent="0.35"/>
  <cols>
    <col min="1" max="1" width="12" customWidth="1"/>
    <col min="2" max="2" width="50" customWidth="1"/>
    <col min="3" max="3" width="10" customWidth="1"/>
    <col min="4" max="4" width="18" customWidth="1"/>
    <col min="5" max="5" width="37" customWidth="1"/>
    <col min="6" max="6" width="10.81640625" bestFit="1" customWidth="1"/>
  </cols>
  <sheetData>
    <row r="1" spans="1:5" x14ac:dyDescent="0.35">
      <c r="A1" s="1" t="s">
        <v>0</v>
      </c>
      <c r="B1" s="1" t="s">
        <v>33</v>
      </c>
      <c r="C1" s="1" t="s">
        <v>2</v>
      </c>
      <c r="D1" s="1" t="s">
        <v>3</v>
      </c>
      <c r="E1" s="1" t="s">
        <v>4</v>
      </c>
    </row>
    <row r="2" spans="1:5" x14ac:dyDescent="0.35">
      <c r="A2" t="s">
        <v>34</v>
      </c>
      <c r="B2" t="s">
        <v>35</v>
      </c>
      <c r="C2" t="s">
        <v>11</v>
      </c>
      <c r="D2">
        <v>2.8599999999999999E-10</v>
      </c>
      <c r="E2" t="s">
        <v>36</v>
      </c>
    </row>
    <row r="3" spans="1:5" x14ac:dyDescent="0.35">
      <c r="A3" t="s">
        <v>160</v>
      </c>
      <c r="B3" t="s">
        <v>164</v>
      </c>
      <c r="C3" t="s">
        <v>11</v>
      </c>
      <c r="D3">
        <v>2.4800000000000002E-10</v>
      </c>
      <c r="E3" t="s">
        <v>165</v>
      </c>
    </row>
    <row r="4" spans="1:5" x14ac:dyDescent="0.35">
      <c r="A4" t="s">
        <v>161</v>
      </c>
      <c r="B4" t="s">
        <v>162</v>
      </c>
      <c r="C4" t="s">
        <v>11</v>
      </c>
      <c r="D4">
        <v>1.43E-10</v>
      </c>
      <c r="E4" t="s">
        <v>163</v>
      </c>
    </row>
    <row r="5" spans="1:5" x14ac:dyDescent="0.35">
      <c r="A5" t="s">
        <v>64</v>
      </c>
      <c r="B5" t="s">
        <v>65</v>
      </c>
      <c r="C5" t="s">
        <v>66</v>
      </c>
      <c r="D5" s="2">
        <v>1.2E-29</v>
      </c>
      <c r="E5" t="s">
        <v>67</v>
      </c>
    </row>
    <row r="6" spans="1:5" x14ac:dyDescent="0.35">
      <c r="A6" t="s">
        <v>68</v>
      </c>
      <c r="B6" t="s">
        <v>69</v>
      </c>
      <c r="C6" t="s">
        <v>70</v>
      </c>
      <c r="D6">
        <v>48</v>
      </c>
      <c r="E6" t="s">
        <v>71</v>
      </c>
    </row>
    <row r="7" spans="1:5" x14ac:dyDescent="0.35">
      <c r="A7" t="s">
        <v>158</v>
      </c>
      <c r="B7" t="s">
        <v>159</v>
      </c>
      <c r="D7" s="2">
        <v>10</v>
      </c>
    </row>
    <row r="8" spans="1:5" s="7" customFormat="1" x14ac:dyDescent="0.35"/>
    <row r="9" spans="1:5" x14ac:dyDescent="0.35">
      <c r="A9" t="s">
        <v>37</v>
      </c>
      <c r="B9" t="s">
        <v>38</v>
      </c>
      <c r="C9" t="s">
        <v>39</v>
      </c>
      <c r="D9">
        <v>0.34</v>
      </c>
      <c r="E9" t="s">
        <v>40</v>
      </c>
    </row>
    <row r="10" spans="1:5" x14ac:dyDescent="0.35">
      <c r="A10" t="s">
        <v>157</v>
      </c>
      <c r="B10" t="s">
        <v>166</v>
      </c>
      <c r="C10" t="s">
        <v>39</v>
      </c>
      <c r="D10">
        <v>0.2</v>
      </c>
      <c r="E10" t="s">
        <v>167</v>
      </c>
    </row>
    <row r="11" spans="1:5" x14ac:dyDescent="0.35">
      <c r="A11" t="s">
        <v>41</v>
      </c>
      <c r="B11" t="s">
        <v>42</v>
      </c>
      <c r="C11" t="s">
        <v>39</v>
      </c>
      <c r="D11">
        <v>0.6</v>
      </c>
      <c r="E11" t="s">
        <v>43</v>
      </c>
    </row>
    <row r="12" spans="1:5" x14ac:dyDescent="0.35">
      <c r="A12" t="s">
        <v>176</v>
      </c>
      <c r="C12" t="s">
        <v>39</v>
      </c>
      <c r="D12">
        <v>0.08</v>
      </c>
      <c r="E12" t="s">
        <v>177</v>
      </c>
    </row>
    <row r="13" spans="1:5" x14ac:dyDescent="0.35">
      <c r="A13" t="s">
        <v>44</v>
      </c>
      <c r="B13" t="s">
        <v>45</v>
      </c>
      <c r="C13" t="s">
        <v>39</v>
      </c>
      <c r="D13">
        <v>1.5</v>
      </c>
      <c r="E13" t="s">
        <v>46</v>
      </c>
    </row>
    <row r="14" spans="1:5" x14ac:dyDescent="0.35">
      <c r="A14" t="s">
        <v>47</v>
      </c>
      <c r="B14" t="s">
        <v>48</v>
      </c>
      <c r="C14" t="s">
        <v>39</v>
      </c>
      <c r="D14">
        <v>4</v>
      </c>
      <c r="E14" t="s">
        <v>49</v>
      </c>
    </row>
    <row r="15" spans="1:5" x14ac:dyDescent="0.35">
      <c r="A15" t="s">
        <v>144</v>
      </c>
      <c r="B15" t="s">
        <v>145</v>
      </c>
      <c r="C15" t="s">
        <v>39</v>
      </c>
      <c r="D15">
        <v>1</v>
      </c>
      <c r="E15" t="s">
        <v>145</v>
      </c>
    </row>
    <row r="16" spans="1:5" x14ac:dyDescent="0.35">
      <c r="A16" t="s">
        <v>146</v>
      </c>
      <c r="B16" t="s">
        <v>147</v>
      </c>
      <c r="C16" t="s">
        <v>39</v>
      </c>
      <c r="D16">
        <v>2</v>
      </c>
      <c r="E16" t="s">
        <v>145</v>
      </c>
    </row>
    <row r="17" spans="1:6" s="7" customFormat="1" x14ac:dyDescent="0.35"/>
    <row r="18" spans="1:6" x14ac:dyDescent="0.35">
      <c r="A18" t="s">
        <v>50</v>
      </c>
      <c r="B18" t="s">
        <v>51</v>
      </c>
      <c r="C18" t="s">
        <v>52</v>
      </c>
      <c r="D18" s="2">
        <f>2.4*6240000000000000000</f>
        <v>1.4976E+19</v>
      </c>
      <c r="E18" t="s">
        <v>53</v>
      </c>
    </row>
    <row r="19" spans="1:6" x14ac:dyDescent="0.35">
      <c r="A19" t="s">
        <v>54</v>
      </c>
      <c r="B19" t="s">
        <v>55</v>
      </c>
      <c r="C19" t="s">
        <v>52</v>
      </c>
      <c r="D19" s="2">
        <f>0.6*6240000000000000000</f>
        <v>3.744E+18</v>
      </c>
      <c r="E19" t="s">
        <v>56</v>
      </c>
    </row>
    <row r="20" spans="1:6" s="7" customFormat="1" x14ac:dyDescent="0.35">
      <c r="D20" s="8"/>
    </row>
    <row r="21" spans="1:6" x14ac:dyDescent="0.35">
      <c r="A21" t="s">
        <v>57</v>
      </c>
      <c r="B21" t="s">
        <v>58</v>
      </c>
      <c r="C21" t="s">
        <v>59</v>
      </c>
      <c r="D21" s="2">
        <v>4000000000000</v>
      </c>
      <c r="E21" t="s">
        <v>60</v>
      </c>
    </row>
    <row r="22" spans="1:6" x14ac:dyDescent="0.35">
      <c r="A22" t="s">
        <v>61</v>
      </c>
      <c r="B22" t="s">
        <v>62</v>
      </c>
      <c r="C22" t="s">
        <v>59</v>
      </c>
      <c r="D22" s="2">
        <v>40000000000000</v>
      </c>
      <c r="E22" t="s">
        <v>63</v>
      </c>
    </row>
    <row r="23" spans="1:6" x14ac:dyDescent="0.35">
      <c r="A23" t="s">
        <v>174</v>
      </c>
      <c r="C23" t="s">
        <v>59</v>
      </c>
      <c r="D23" s="2">
        <v>2000000000000</v>
      </c>
      <c r="E23" t="s">
        <v>175</v>
      </c>
    </row>
    <row r="24" spans="1:6" x14ac:dyDescent="0.35">
      <c r="A24" t="s">
        <v>178</v>
      </c>
      <c r="D24" s="2">
        <v>1</v>
      </c>
      <c r="E24" t="s">
        <v>179</v>
      </c>
    </row>
    <row r="25" spans="1:6" s="7" customFormat="1" x14ac:dyDescent="0.35"/>
    <row r="26" spans="1:6" x14ac:dyDescent="0.35">
      <c r="A26" t="s">
        <v>72</v>
      </c>
      <c r="B26" t="s">
        <v>73</v>
      </c>
      <c r="C26" t="s">
        <v>70</v>
      </c>
      <c r="D26" s="2">
        <v>0.01</v>
      </c>
      <c r="E26" t="s">
        <v>74</v>
      </c>
    </row>
    <row r="27" spans="1:6" x14ac:dyDescent="0.35">
      <c r="A27" t="s">
        <v>171</v>
      </c>
      <c r="B27" t="s">
        <v>173</v>
      </c>
      <c r="C27" t="s">
        <v>70</v>
      </c>
      <c r="D27" s="2">
        <v>0.01</v>
      </c>
      <c r="E27" t="s">
        <v>172</v>
      </c>
    </row>
    <row r="28" spans="1:6" x14ac:dyDescent="0.35">
      <c r="A28" t="s">
        <v>75</v>
      </c>
      <c r="B28" t="s">
        <v>76</v>
      </c>
      <c r="C28" t="s">
        <v>70</v>
      </c>
      <c r="D28" s="2">
        <v>5.0000000000000001E-3</v>
      </c>
      <c r="E28" t="s">
        <v>77</v>
      </c>
    </row>
    <row r="29" spans="1:6" x14ac:dyDescent="0.35">
      <c r="A29" t="s">
        <v>78</v>
      </c>
      <c r="B29" t="s">
        <v>79</v>
      </c>
      <c r="C29" t="s">
        <v>70</v>
      </c>
      <c r="D29" s="2">
        <f>D28</f>
        <v>5.0000000000000001E-3</v>
      </c>
      <c r="E29" t="s">
        <v>80</v>
      </c>
    </row>
    <row r="30" spans="1:6" s="7" customFormat="1" x14ac:dyDescent="0.35"/>
    <row r="31" spans="1:6" x14ac:dyDescent="0.35">
      <c r="A31" t="s">
        <v>81</v>
      </c>
      <c r="B31" t="s">
        <v>82</v>
      </c>
      <c r="C31" t="s">
        <v>70</v>
      </c>
      <c r="D31">
        <v>2</v>
      </c>
      <c r="E31" t="s">
        <v>83</v>
      </c>
    </row>
    <row r="32" spans="1:6" x14ac:dyDescent="0.35">
      <c r="A32" t="s">
        <v>180</v>
      </c>
      <c r="B32" t="s">
        <v>148</v>
      </c>
      <c r="C32" t="s">
        <v>137</v>
      </c>
      <c r="D32" s="2">
        <v>80000000000</v>
      </c>
      <c r="E32" t="s">
        <v>148</v>
      </c>
      <c r="F32" s="2"/>
    </row>
    <row r="33" spans="1:6" x14ac:dyDescent="0.35">
      <c r="A33" t="s">
        <v>149</v>
      </c>
      <c r="B33" t="s">
        <v>150</v>
      </c>
      <c r="C33" t="s">
        <v>70</v>
      </c>
      <c r="D33" s="2">
        <v>0.34</v>
      </c>
      <c r="E33" t="s">
        <v>150</v>
      </c>
      <c r="F33" s="2"/>
    </row>
    <row r="34" spans="1:6" s="7" customFormat="1" x14ac:dyDescent="0.35"/>
    <row r="35" spans="1:6" x14ac:dyDescent="0.35">
      <c r="A35" t="s">
        <v>181</v>
      </c>
      <c r="C35" t="s">
        <v>183</v>
      </c>
      <c r="D35" s="2">
        <v>1.5700000000000001E-29</v>
      </c>
      <c r="E35" t="s">
        <v>185</v>
      </c>
    </row>
    <row r="36" spans="1:6" x14ac:dyDescent="0.35">
      <c r="A36" t="s">
        <v>182</v>
      </c>
      <c r="C36" t="s">
        <v>184</v>
      </c>
      <c r="D36" s="2">
        <v>1.8399999999999998E-58</v>
      </c>
      <c r="E36" t="s">
        <v>186</v>
      </c>
    </row>
  </sheetData>
  <pageMargins left="0.75" right="0.75" top="1" bottom="1" header="0.5" footer="0.5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5"/>
  <sheetViews>
    <sheetView zoomScale="87" zoomScaleNormal="145" workbookViewId="0">
      <selection activeCell="D20" sqref="D20"/>
    </sheetView>
  </sheetViews>
  <sheetFormatPr defaultRowHeight="14.5" x14ac:dyDescent="0.35"/>
  <cols>
    <col min="1" max="1" width="11" customWidth="1"/>
    <col min="2" max="2" width="50" customWidth="1"/>
    <col min="3" max="3" width="7" customWidth="1"/>
    <col min="4" max="4" width="11.26953125" style="4" customWidth="1"/>
    <col min="5" max="5" width="50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3" t="s">
        <v>3</v>
      </c>
      <c r="E1" s="1" t="s">
        <v>4</v>
      </c>
    </row>
    <row r="2" spans="1:5" x14ac:dyDescent="0.35">
      <c r="A2" t="s">
        <v>154</v>
      </c>
      <c r="B2" t="s">
        <v>84</v>
      </c>
      <c r="C2" t="s">
        <v>70</v>
      </c>
      <c r="D2" s="4">
        <v>1.1000000000000001</v>
      </c>
      <c r="E2" t="s">
        <v>85</v>
      </c>
    </row>
    <row r="3" spans="1:5" x14ac:dyDescent="0.35">
      <c r="A3" t="s">
        <v>155</v>
      </c>
      <c r="B3" t="s">
        <v>86</v>
      </c>
      <c r="C3" t="s">
        <v>70</v>
      </c>
      <c r="D3" s="4">
        <v>1.3</v>
      </c>
      <c r="E3" t="s">
        <v>87</v>
      </c>
    </row>
    <row r="4" spans="1:5" x14ac:dyDescent="0.35">
      <c r="A4" t="s">
        <v>156</v>
      </c>
      <c r="B4" t="s">
        <v>88</v>
      </c>
      <c r="C4" t="s">
        <v>70</v>
      </c>
      <c r="D4" s="4">
        <v>1</v>
      </c>
      <c r="E4" t="s">
        <v>89</v>
      </c>
    </row>
    <row r="5" spans="1:5" x14ac:dyDescent="0.35">
      <c r="A5" t="s">
        <v>90</v>
      </c>
      <c r="B5" t="s">
        <v>91</v>
      </c>
      <c r="C5" t="s">
        <v>70</v>
      </c>
      <c r="D5" s="4">
        <v>1</v>
      </c>
      <c r="E5" t="s">
        <v>92</v>
      </c>
    </row>
    <row r="6" spans="1:5" x14ac:dyDescent="0.35">
      <c r="A6" t="s">
        <v>93</v>
      </c>
      <c r="B6" t="s">
        <v>94</v>
      </c>
      <c r="C6" t="s">
        <v>70</v>
      </c>
      <c r="D6" s="4">
        <v>1</v>
      </c>
      <c r="E6" t="s">
        <v>95</v>
      </c>
    </row>
    <row r="7" spans="1:5" x14ac:dyDescent="0.35">
      <c r="A7" t="s">
        <v>96</v>
      </c>
      <c r="B7" t="s">
        <v>97</v>
      </c>
      <c r="C7" t="s">
        <v>70</v>
      </c>
      <c r="D7" s="4">
        <v>1</v>
      </c>
      <c r="E7" t="s">
        <v>98</v>
      </c>
    </row>
    <row r="8" spans="1:5" s="5" customFormat="1" x14ac:dyDescent="0.35">
      <c r="D8" s="6"/>
    </row>
    <row r="9" spans="1:5" x14ac:dyDescent="0.35">
      <c r="A9" t="s">
        <v>99</v>
      </c>
      <c r="B9" t="s">
        <v>100</v>
      </c>
      <c r="C9" t="s">
        <v>101</v>
      </c>
      <c r="D9" s="4">
        <v>1000</v>
      </c>
      <c r="E9" t="s">
        <v>102</v>
      </c>
    </row>
    <row r="10" spans="1:5" x14ac:dyDescent="0.35">
      <c r="A10" t="s">
        <v>103</v>
      </c>
      <c r="B10" t="s">
        <v>104</v>
      </c>
      <c r="C10" t="s">
        <v>101</v>
      </c>
      <c r="D10" s="4">
        <v>500</v>
      </c>
      <c r="E10" t="s">
        <v>105</v>
      </c>
    </row>
    <row r="11" spans="1:5" x14ac:dyDescent="0.35">
      <c r="A11" t="s">
        <v>151</v>
      </c>
      <c r="B11" t="s">
        <v>152</v>
      </c>
      <c r="C11" t="s">
        <v>11</v>
      </c>
      <c r="D11" s="4">
        <v>2.4999999999999999E-8</v>
      </c>
      <c r="E11" t="s">
        <v>153</v>
      </c>
    </row>
    <row r="12" spans="1:5" x14ac:dyDescent="0.35">
      <c r="A12" s="7" t="s">
        <v>170</v>
      </c>
      <c r="B12" s="7" t="s">
        <v>169</v>
      </c>
      <c r="C12" s="7" t="s">
        <v>11</v>
      </c>
      <c r="D12" s="9">
        <v>2.4999999999999999E-8</v>
      </c>
      <c r="E12" s="7" t="s">
        <v>168</v>
      </c>
    </row>
    <row r="13" spans="1:5" s="5" customFormat="1" x14ac:dyDescent="0.35">
      <c r="D13" s="6"/>
    </row>
    <row r="14" spans="1:5" x14ac:dyDescent="0.35">
      <c r="A14" t="s">
        <v>106</v>
      </c>
      <c r="B14" t="s">
        <v>107</v>
      </c>
      <c r="C14" t="s">
        <v>70</v>
      </c>
      <c r="D14" s="4">
        <v>0.15</v>
      </c>
      <c r="E14" t="s">
        <v>108</v>
      </c>
    </row>
    <row r="15" spans="1:5" x14ac:dyDescent="0.35">
      <c r="A15" t="s">
        <v>109</v>
      </c>
      <c r="B15" t="s">
        <v>110</v>
      </c>
      <c r="C15" t="s">
        <v>70</v>
      </c>
      <c r="D15" s="4">
        <v>0.1</v>
      </c>
      <c r="E15" t="s">
        <v>111</v>
      </c>
    </row>
    <row r="16" spans="1:5" x14ac:dyDescent="0.35">
      <c r="A16" t="s">
        <v>112</v>
      </c>
      <c r="B16" t="s">
        <v>113</v>
      </c>
      <c r="C16" t="s">
        <v>70</v>
      </c>
      <c r="D16" s="4">
        <v>0.25</v>
      </c>
      <c r="E16" t="s">
        <v>114</v>
      </c>
    </row>
    <row r="17" spans="1:5" x14ac:dyDescent="0.35">
      <c r="A17" t="s">
        <v>115</v>
      </c>
      <c r="B17" t="s">
        <v>116</v>
      </c>
      <c r="C17" t="s">
        <v>70</v>
      </c>
      <c r="D17" s="4">
        <v>0.3</v>
      </c>
      <c r="E17" t="s">
        <v>117</v>
      </c>
    </row>
    <row r="18" spans="1:5" x14ac:dyDescent="0.35">
      <c r="A18" t="s">
        <v>118</v>
      </c>
      <c r="B18" t="s">
        <v>119</v>
      </c>
      <c r="C18" t="s">
        <v>70</v>
      </c>
      <c r="D18" s="4">
        <v>0.2</v>
      </c>
      <c r="E18" t="s">
        <v>120</v>
      </c>
    </row>
    <row r="19" spans="1:5" x14ac:dyDescent="0.35">
      <c r="A19" t="s">
        <v>121</v>
      </c>
      <c r="B19" t="s">
        <v>122</v>
      </c>
      <c r="C19" t="s">
        <v>70</v>
      </c>
      <c r="D19" s="4">
        <v>0.25</v>
      </c>
      <c r="E19" t="s">
        <v>123</v>
      </c>
    </row>
    <row r="20" spans="1:5" x14ac:dyDescent="0.35">
      <c r="A20" t="s">
        <v>124</v>
      </c>
      <c r="B20" t="s">
        <v>125</v>
      </c>
      <c r="C20" t="s">
        <v>70</v>
      </c>
      <c r="D20" s="4">
        <v>0.3</v>
      </c>
      <c r="E20" t="s">
        <v>126</v>
      </c>
    </row>
    <row r="21" spans="1:5" s="5" customFormat="1" x14ac:dyDescent="0.35">
      <c r="D21" s="6"/>
    </row>
    <row r="22" spans="1:5" x14ac:dyDescent="0.35">
      <c r="A22" t="s">
        <v>11</v>
      </c>
      <c r="B22" t="s">
        <v>127</v>
      </c>
      <c r="C22" t="s">
        <v>70</v>
      </c>
      <c r="D22" s="4">
        <v>100</v>
      </c>
      <c r="E22" t="s">
        <v>128</v>
      </c>
    </row>
    <row r="23" spans="1:5" x14ac:dyDescent="0.35">
      <c r="A23" t="s">
        <v>101</v>
      </c>
      <c r="B23" t="s">
        <v>129</v>
      </c>
      <c r="C23" t="s">
        <v>70</v>
      </c>
      <c r="D23" s="4">
        <v>1E-3</v>
      </c>
      <c r="E23" t="s">
        <v>130</v>
      </c>
    </row>
    <row r="24" spans="1:5" x14ac:dyDescent="0.35">
      <c r="A24" t="s">
        <v>131</v>
      </c>
      <c r="B24" t="s">
        <v>132</v>
      </c>
      <c r="C24" t="s">
        <v>70</v>
      </c>
      <c r="D24" s="4">
        <v>9.9999999999999995E-7</v>
      </c>
      <c r="E24" t="s">
        <v>133</v>
      </c>
    </row>
    <row r="25" spans="1:5" x14ac:dyDescent="0.35">
      <c r="A25" t="s">
        <v>134</v>
      </c>
      <c r="B25" t="s">
        <v>135</v>
      </c>
      <c r="C25" t="s">
        <v>70</v>
      </c>
      <c r="D25" s="4">
        <v>9.9999999999999995E-8</v>
      </c>
      <c r="E25" t="s">
        <v>136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Material_Environment</vt:lpstr>
      <vt:lpstr>Physical_Properties</vt:lpstr>
      <vt:lpstr>Model_Parameters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Nasr Ghoniem</cp:lastModifiedBy>
  <dcterms:created xsi:type="dcterms:W3CDTF">2025-09-09T23:14:52Z</dcterms:created>
  <dcterms:modified xsi:type="dcterms:W3CDTF">2026-03-24T18:00:49Z</dcterms:modified>
</cp:coreProperties>
</file>